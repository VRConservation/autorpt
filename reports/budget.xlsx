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<sst xmlns="http://schemas.openxmlformats.org/spreadsheetml/2006/main" count="19" uniqueCount="19">
  <si>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Task</t>
  </si>
  <si>
    <t>Budgeted</t>
  </si>
  <si>
    <t>Spent</t>
  </si>
  <si>
    <t>Remaining</t>
  </si>
  <si>
    <t xml:space="preserve">1. Project planning</t>
  </si>
  <si>
    <t xml:space="preserve">2. Implementation</t>
  </si>
  <si>
    <t xml:space="preserve">2.1 Staffing</t>
  </si>
  <si>
    <t xml:space="preserve">2.2 Equipment</t>
  </si>
  <si>
    <t xml:space="preserve">2.3 Travel</t>
  </si>
  <si>
    <t>sub-total</t>
  </si>
  <si>
    <t xml:space="preserve">3. Monitoring</t>
  </si>
  <si>
    <t xml:space="preserve">3.1 Science review</t>
  </si>
  <si>
    <t xml:space="preserve">3.2 Field collection</t>
  </si>
  <si>
    <t xml:space="preserve">3.3 Data analysis</t>
  </si>
  <si>
    <t xml:space="preserve">3.4 Data viz</t>
  </si>
  <si>
    <t xml:space="preserve">4. Reporting</t>
  </si>
  <si>
    <t xml:space="preserve">total project</t>
  </si>
  <si>
    <t xml:space="preserve">indirect (10%)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</si>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</sst>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13">
    <xf fontId="0" fillId="0" borderId="0" numFmtId="0" xfId="0"/>
    <xf fontId="1" fillId="0" borderId="0" numFmtId="0" xfId="0" applyFont="1"/>
    <xf fontId="1" fillId="0" borderId="0" numFmtId="0" xfId="0" applyFont="1" applyAlignment="1">
      <alignment horizontal="right"/>
    </xf>
    <xf fontId="0" fillId="0" borderId="1" numFmtId="0" xfId="0" applyBorder="1"/>
    <xf fontId="0" fillId="0" borderId="1" numFmtId="165" xfId="1" applyNumberFormat="1" applyBorder="1"/>
    <xf fontId="1" fillId="0" borderId="1" numFmtId="165" xfId="1" applyNumberFormat="1" applyFont="1" applyBorder="1"/>
    <xf fontId="0" fillId="0" borderId="0" numFmtId="165" xfId="1" applyNumberFormat="1"/>
    <xf fontId="1" fillId="0" borderId="0" numFmtId="165" xfId="1" applyNumberFormat="1" applyFont="1"/>
    <xf fontId="0" fillId="0" borderId="0" numFmtId="0" xfId="0"/>
    <xf fontId="0" fillId="0" borderId="0" numFmtId="0" xfId="0" applyAlignment="1">
      <alignment horizontal="right"/>
    </xf>
    <xf fontId="0" fillId="0" borderId="0" numFmtId="0" xfId="0"/>
    <xf fontId="0" fillId="0" borderId="0" numFmtId="0" xfId="0" applyAlignment="1">
      <alignment horizontal="right"/>
    </xf>
    <xf fontId="1" fillId="0" borderId="2" numFmtId="165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F12" activeCellId="0" sqref="F12"/>
    </sheetView>
  </sheetViews>
  <sheetFormatPr defaultRowHeight="15.75"/>
  <cols>
    <col customWidth="1" min="1" max="1" width="20.8515625"/>
    <col customWidth="1" min="2" max="2" width="12.33203125"/>
    <col customWidth="1" min="3" max="3" width="11.6640625"/>
    <col customWidth="1" min="4" max="4" width="12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>
        <v>20000</v>
      </c>
      <c r="C2" s="4">
        <v>15226</v>
      </c>
      <c r="D2" s="5">
        <f t="shared" ref="D2:D6" si="0">B2-C2</f>
        <v>4774</v>
      </c>
    </row>
    <row r="3">
      <c r="A3" t="s">
        <v>5</v>
      </c>
      <c r="B3" s="6"/>
      <c r="C3" s="6"/>
      <c r="D3" s="7"/>
    </row>
    <row r="4">
      <c r="A4" s="8" t="s">
        <v>6</v>
      </c>
      <c r="B4" s="6">
        <v>120000</v>
      </c>
      <c r="C4" s="6">
        <v>74538</v>
      </c>
      <c r="D4" s="7">
        <f t="shared" si="0"/>
        <v>45462</v>
      </c>
    </row>
    <row r="5">
      <c r="A5" s="8" t="s">
        <v>7</v>
      </c>
      <c r="B5" s="6">
        <v>30000</v>
      </c>
      <c r="C5" s="6">
        <v>12500</v>
      </c>
      <c r="D5" s="7">
        <f t="shared" si="0"/>
        <v>17500</v>
      </c>
    </row>
    <row r="6">
      <c r="A6" s="8" t="s">
        <v>8</v>
      </c>
      <c r="B6" s="6">
        <v>40000</v>
      </c>
      <c r="C6" s="6">
        <v>9929</v>
      </c>
      <c r="D6" s="7">
        <f t="shared" si="0"/>
        <v>30071</v>
      </c>
    </row>
    <row r="7">
      <c r="A7" s="9" t="s">
        <v>9</v>
      </c>
      <c r="B7" s="4">
        <f>SUM(B4:B6)</f>
        <v>190000</v>
      </c>
      <c r="C7" s="4">
        <f>SUM(C4:C6)</f>
        <v>96967</v>
      </c>
      <c r="D7" s="5">
        <f>SUM(D4:D6)</f>
        <v>93033</v>
      </c>
    </row>
    <row r="8">
      <c r="A8" t="s">
        <v>10</v>
      </c>
      <c r="B8" s="6"/>
      <c r="C8" s="6"/>
      <c r="D8" s="7"/>
    </row>
    <row r="9">
      <c r="A9" s="10" t="s">
        <v>11</v>
      </c>
      <c r="B9" s="6">
        <v>5000</v>
      </c>
      <c r="C9" s="6">
        <v>5000</v>
      </c>
      <c r="D9" s="7">
        <f>B9-C9</f>
        <v>0</v>
      </c>
    </row>
    <row r="10">
      <c r="A10" s="10" t="s">
        <v>12</v>
      </c>
      <c r="B10" s="6">
        <v>50000</v>
      </c>
      <c r="C10" s="6">
        <v>25405</v>
      </c>
      <c r="D10" s="7">
        <f>B10-C10</f>
        <v>24595</v>
      </c>
    </row>
    <row r="11">
      <c r="A11" s="10" t="s">
        <v>13</v>
      </c>
      <c r="B11" s="6">
        <v>75000</v>
      </c>
      <c r="C11" s="6">
        <v>23232</v>
      </c>
      <c r="D11" s="7">
        <f>B11-C11</f>
        <v>51768</v>
      </c>
    </row>
    <row r="12">
      <c r="A12" s="10" t="s">
        <v>14</v>
      </c>
      <c r="B12" s="6">
        <v>90000</v>
      </c>
      <c r="C12" s="6">
        <v>7895</v>
      </c>
      <c r="D12" s="7">
        <f>B12-C12</f>
        <v>82105</v>
      </c>
    </row>
    <row r="13">
      <c r="A13" s="11" t="s">
        <v>9</v>
      </c>
      <c r="B13" s="6">
        <f>SUM(B8:B12)</f>
        <v>220000</v>
      </c>
      <c r="C13" s="6">
        <f>SUM(C8:C12)</f>
        <v>61532</v>
      </c>
      <c r="D13" s="6">
        <f>SUM(D8:D12)</f>
        <v>158468</v>
      </c>
    </row>
    <row r="14">
      <c r="A14" t="s">
        <v>15</v>
      </c>
      <c r="B14" s="6">
        <v>15000</v>
      </c>
      <c r="C14" s="6">
        <v>15000</v>
      </c>
      <c r="D14" s="6">
        <v>15000</v>
      </c>
    </row>
    <row r="15">
      <c r="A15" s="9" t="s">
        <v>16</v>
      </c>
      <c r="B15" s="4">
        <f>B14+B4+B7+B2</f>
        <v>345000</v>
      </c>
      <c r="C15" s="4">
        <f>C14+C8+C7+C2</f>
        <v>127193</v>
      </c>
      <c r="D15" s="4">
        <f>D14+D8+D7+D2</f>
        <v>112807</v>
      </c>
    </row>
    <row r="16">
      <c r="A16" s="9" t="s">
        <v>17</v>
      </c>
      <c r="B16" s="6">
        <f>B15*0.1</f>
        <v>34500</v>
      </c>
      <c r="C16" s="6">
        <f>C15*0.1</f>
        <v>12719.300000000001</v>
      </c>
      <c r="D16" s="7">
        <f>D15*0.1</f>
        <v>11280.700000000001</v>
      </c>
    </row>
    <row r="17">
      <c r="A17" s="1" t="s">
        <v>18</v>
      </c>
      <c r="B17" s="12">
        <f>B16+B15</f>
        <v>379500</v>
      </c>
      <c r="C17" s="12">
        <f>C16+C15</f>
        <v>139912.29999999999</v>
      </c>
      <c r="D17" s="12">
        <f>D16+D15</f>
        <v>124087.7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 Russell</dc:creator>
  <cp:revision>3</cp:revision>
  <dcterms:created xsi:type="dcterms:W3CDTF">2025-07-25T11:32:27Z</dcterms:created>
  <dcterms:modified xsi:type="dcterms:W3CDTF">2026-05-08T18:38:32Z</dcterms:modified>
</cp:coreProperties>
</file>